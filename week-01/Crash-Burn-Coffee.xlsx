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oreyallen\Documents\DataAnalytics\week-01\"/>
    </mc:Choice>
  </mc:AlternateContent>
  <xr:revisionPtr revIDLastSave="0" documentId="13_ncr:9_{8481E069-7CED-40E4-87FE-0F137FA427F0}" xr6:coauthVersionLast="47" xr6:coauthVersionMax="47" xr10:uidLastSave="{00000000-0000-0000-0000-000000000000}"/>
  <bookViews>
    <workbookView xWindow="-110" yWindow="-110" windowWidth="19420" windowHeight="11500" xr2:uid="{E2963DA2-3928-4AFB-8F4C-97AF6DDE25EB}"/>
  </bookViews>
  <sheets>
    <sheet name="Sheet2" sheetId="3" r:id="rId1"/>
    <sheet name="Crash &amp; Burn Coffee Company Cus" sheetId="1" r:id="rId2"/>
  </sheets>
  <calcPr calcId="0"/>
  <pivotCaches>
    <pivotCache cacheId="21" r:id="rId3"/>
  </pivotCaches>
</workbook>
</file>

<file path=xl/calcChain.xml><?xml version="1.0" encoding="utf-8"?>
<calcChain xmlns="http://schemas.openxmlformats.org/spreadsheetml/2006/main">
  <c r="J10" i="1" l="1"/>
  <c r="H10" i="1"/>
  <c r="G10" i="1"/>
  <c r="D10" i="1"/>
  <c r="D2" i="1"/>
  <c r="D3" i="1"/>
  <c r="D4" i="1"/>
  <c r="D5" i="1"/>
  <c r="D6" i="1"/>
  <c r="D7" i="1"/>
  <c r="D8" i="1"/>
  <c r="D9" i="1"/>
</calcChain>
</file>

<file path=xl/sharedStrings.xml><?xml version="1.0" encoding="utf-8"?>
<sst xmlns="http://schemas.openxmlformats.org/spreadsheetml/2006/main" count="96" uniqueCount="47">
  <si>
    <t>Id</t>
  </si>
  <si>
    <t>Start time</t>
  </si>
  <si>
    <t>Completion time</t>
  </si>
  <si>
    <t>Email</t>
  </si>
  <si>
    <t>Name</t>
  </si>
  <si>
    <t>How would you rate your experience at Crash &amp; Burn?</t>
  </si>
  <si>
    <t>How likely are you to try our new seasonal coffee?</t>
  </si>
  <si>
    <t>What brings you to Crash &amp; Burn Coffee the most?</t>
  </si>
  <si>
    <t>How likely are you to recommend Crash &amp; Burn to a friend or colleague?</t>
  </si>
  <si>
    <t>Would you join a rewards program?</t>
  </si>
  <si>
    <t>somer@my.yearupunited.org</t>
  </si>
  <si>
    <t>samia omer</t>
  </si>
  <si>
    <t>Very likely</t>
  </si>
  <si>
    <t>I heard from my friend they have a good coffee</t>
  </si>
  <si>
    <t>Definitely will recommend</t>
  </si>
  <si>
    <t>Maybe</t>
  </si>
  <si>
    <t>achanthadara@my.yearupunited.org</t>
  </si>
  <si>
    <t>alexus chanthadara</t>
  </si>
  <si>
    <t>Somewhat likely</t>
  </si>
  <si>
    <t>To crash and burn</t>
  </si>
  <si>
    <t>Probably will recommend</t>
  </si>
  <si>
    <t>No</t>
  </si>
  <si>
    <t>cpalacios@my.yearupunited.org</t>
  </si>
  <si>
    <t>charles palacios</t>
  </si>
  <si>
    <t>I come when I am in the mood to taste good coffee</t>
  </si>
  <si>
    <t>Yes</t>
  </si>
  <si>
    <t>amartinez3@my.yearupunited.org</t>
  </si>
  <si>
    <t>alondra martinez</t>
  </si>
  <si>
    <t xml:space="preserve">amazing coffee and ambience </t>
  </si>
  <si>
    <t>tzergaw@my.yearupunited.org</t>
  </si>
  <si>
    <t>tihitina zergaw</t>
  </si>
  <si>
    <t xml:space="preserve">The flavor of the coffee </t>
  </si>
  <si>
    <t>BHambleton@YearUp.org</t>
  </si>
  <si>
    <t>Bess Hambleton</t>
  </si>
  <si>
    <t>When I visit the library nearby, I always stop for a coffee</t>
  </si>
  <si>
    <t>smelgara@my.yearupunited.org</t>
  </si>
  <si>
    <t>smaya melgara</t>
  </si>
  <si>
    <t>Enviornment</t>
  </si>
  <si>
    <t>bcollins@my.yearupunited.org</t>
  </si>
  <si>
    <t>blake collins</t>
  </si>
  <si>
    <t>I needed five dollars</t>
  </si>
  <si>
    <t>Time to Complete</t>
  </si>
  <si>
    <t>Row Labels</t>
  </si>
  <si>
    <t>Grand Total</t>
  </si>
  <si>
    <t>(blank)</t>
  </si>
  <si>
    <t>Count of Name</t>
  </si>
  <si>
    <t>Sum of How would you rate your experience at Crash &amp; Burn?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</si>
</sst>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\ hh:mm:ss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NumberFormat="1"/>
    <xf numFmtId="165" fontId="0" fillId="0" borderId="0" xfId="0" applyNumberFormat="1"/>
    <xf numFmtId="4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Alignment="1">
      <alignment horizontal="left" indent="5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[Crash &amp; Burn Coffee.xlsx]Sheet2!PivotTable3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Count of Name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Sheet2!$A$2:$A$46</c:f>
              <c:multiLvlStrCache>
                <c:ptCount val="9"/>
                <c:lvl>
                  <c:pt idx="0">
                    <c:v>Very likely</c:v>
                  </c:pt>
                  <c:pt idx="1">
                    <c:v>Very likely</c:v>
                  </c:pt>
                  <c:pt idx="2">
                    <c:v>Somewhat likely</c:v>
                  </c:pt>
                  <c:pt idx="3">
                    <c:v>Very likely</c:v>
                  </c:pt>
                  <c:pt idx="4">
                    <c:v>Very likely</c:v>
                  </c:pt>
                  <c:pt idx="5">
                    <c:v>Somewhat likely</c:v>
                  </c:pt>
                  <c:pt idx="6">
                    <c:v>Very likely</c:v>
                  </c:pt>
                  <c:pt idx="7">
                    <c:v>Very likely</c:v>
                  </c:pt>
                  <c:pt idx="8">
                    <c:v>6</c:v>
                  </c:pt>
                </c:lvl>
                <c:lvl>
                  <c:pt idx="0">
                    <c:v>When I visit the library nearby, I always stop for a coffee</c:v>
                  </c:pt>
                  <c:pt idx="1">
                    <c:v>I heard from my friend they have a good coffee</c:v>
                  </c:pt>
                  <c:pt idx="2">
                    <c:v>To crash and burn</c:v>
                  </c:pt>
                  <c:pt idx="3">
                    <c:v>amazing coffee and ambience </c:v>
                  </c:pt>
                  <c:pt idx="4">
                    <c:v>I needed five dollars</c:v>
                  </c:pt>
                  <c:pt idx="5">
                    <c:v>I come when I am in the mood to taste good coffee</c:v>
                  </c:pt>
                  <c:pt idx="6">
                    <c:v>Enviornment</c:v>
                  </c:pt>
                  <c:pt idx="7">
                    <c:v>The flavor of the coffee </c:v>
                  </c:pt>
                  <c:pt idx="8">
                    <c:v>(blank)</c:v>
                  </c:pt>
                </c:lvl>
                <c:lvl>
                  <c:pt idx="0">
                    <c:v>6</c:v>
                  </c:pt>
                  <c:pt idx="1">
                    <c:v>6</c:v>
                  </c:pt>
                  <c:pt idx="2">
                    <c:v>5</c:v>
                  </c:pt>
                  <c:pt idx="3">
                    <c:v>6</c:v>
                  </c:pt>
                  <c:pt idx="4">
                    <c:v>6</c:v>
                  </c:pt>
                  <c:pt idx="5">
                    <c:v>6</c:v>
                  </c:pt>
                  <c:pt idx="6">
                    <c:v>6</c:v>
                  </c:pt>
                  <c:pt idx="7">
                    <c:v>5</c:v>
                  </c:pt>
                  <c:pt idx="8">
                    <c:v>5.75</c:v>
                  </c:pt>
                </c:lvl>
                <c:lvl>
                  <c:pt idx="0">
                    <c:v>Bess Hambleton</c:v>
                  </c:pt>
                  <c:pt idx="1">
                    <c:v>samia omer</c:v>
                  </c:pt>
                  <c:pt idx="2">
                    <c:v>alexus chanthadara</c:v>
                  </c:pt>
                  <c:pt idx="3">
                    <c:v>alondra martinez</c:v>
                  </c:pt>
                  <c:pt idx="4">
                    <c:v>blake collins</c:v>
                  </c:pt>
                  <c:pt idx="5">
                    <c:v>charles palacios</c:v>
                  </c:pt>
                  <c:pt idx="6">
                    <c:v>smaya melgara</c:v>
                  </c:pt>
                  <c:pt idx="7">
                    <c:v>tihitina zergaw</c:v>
                  </c:pt>
                  <c:pt idx="8">
                    <c:v>(blank)</c:v>
                  </c:pt>
                </c:lvl>
                <c:lvl>
                  <c:pt idx="0">
                    <c:v>Definitely will recommend</c:v>
                  </c:pt>
                  <c:pt idx="2">
                    <c:v>Probably will recommend</c:v>
                  </c:pt>
                  <c:pt idx="3">
                    <c:v>Definitely will recommend</c:v>
                  </c:pt>
                  <c:pt idx="8">
                    <c:v>1</c:v>
                  </c:pt>
                </c:lvl>
                <c:lvl>
                  <c:pt idx="0">
                    <c:v>Maybe</c:v>
                  </c:pt>
                  <c:pt idx="2">
                    <c:v>No</c:v>
                  </c:pt>
                  <c:pt idx="3">
                    <c:v>Yes</c:v>
                  </c:pt>
                  <c:pt idx="8">
                    <c:v>(blank)</c:v>
                  </c:pt>
                </c:lvl>
              </c:multiLvlStrCache>
            </c:multiLvlStrRef>
          </c:cat>
          <c:val>
            <c:numRef>
              <c:f>Sheet2!$B$2:$B$46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8A-494A-9B47-7059DFECB06A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Sum of How would you rate your experience at Crash &amp; Burn?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cat>
            <c:multiLvlStrRef>
              <c:f>Sheet2!$A$2:$A$46</c:f>
              <c:multiLvlStrCache>
                <c:ptCount val="9"/>
                <c:lvl>
                  <c:pt idx="0">
                    <c:v>Very likely</c:v>
                  </c:pt>
                  <c:pt idx="1">
                    <c:v>Very likely</c:v>
                  </c:pt>
                  <c:pt idx="2">
                    <c:v>Somewhat likely</c:v>
                  </c:pt>
                  <c:pt idx="3">
                    <c:v>Very likely</c:v>
                  </c:pt>
                  <c:pt idx="4">
                    <c:v>Very likely</c:v>
                  </c:pt>
                  <c:pt idx="5">
                    <c:v>Somewhat likely</c:v>
                  </c:pt>
                  <c:pt idx="6">
                    <c:v>Very likely</c:v>
                  </c:pt>
                  <c:pt idx="7">
                    <c:v>Very likely</c:v>
                  </c:pt>
                  <c:pt idx="8">
                    <c:v>6</c:v>
                  </c:pt>
                </c:lvl>
                <c:lvl>
                  <c:pt idx="0">
                    <c:v>When I visit the library nearby, I always stop for a coffee</c:v>
                  </c:pt>
                  <c:pt idx="1">
                    <c:v>I heard from my friend they have a good coffee</c:v>
                  </c:pt>
                  <c:pt idx="2">
                    <c:v>To crash and burn</c:v>
                  </c:pt>
                  <c:pt idx="3">
                    <c:v>amazing coffee and ambience </c:v>
                  </c:pt>
                  <c:pt idx="4">
                    <c:v>I needed five dollars</c:v>
                  </c:pt>
                  <c:pt idx="5">
                    <c:v>I come when I am in the mood to taste good coffee</c:v>
                  </c:pt>
                  <c:pt idx="6">
                    <c:v>Enviornment</c:v>
                  </c:pt>
                  <c:pt idx="7">
                    <c:v>The flavor of the coffee </c:v>
                  </c:pt>
                  <c:pt idx="8">
                    <c:v>(blank)</c:v>
                  </c:pt>
                </c:lvl>
                <c:lvl>
                  <c:pt idx="0">
                    <c:v>6</c:v>
                  </c:pt>
                  <c:pt idx="1">
                    <c:v>6</c:v>
                  </c:pt>
                  <c:pt idx="2">
                    <c:v>5</c:v>
                  </c:pt>
                  <c:pt idx="3">
                    <c:v>6</c:v>
                  </c:pt>
                  <c:pt idx="4">
                    <c:v>6</c:v>
                  </c:pt>
                  <c:pt idx="5">
                    <c:v>6</c:v>
                  </c:pt>
                  <c:pt idx="6">
                    <c:v>6</c:v>
                  </c:pt>
                  <c:pt idx="7">
                    <c:v>5</c:v>
                  </c:pt>
                  <c:pt idx="8">
                    <c:v>5.75</c:v>
                  </c:pt>
                </c:lvl>
                <c:lvl>
                  <c:pt idx="0">
                    <c:v>Bess Hambleton</c:v>
                  </c:pt>
                  <c:pt idx="1">
                    <c:v>samia omer</c:v>
                  </c:pt>
                  <c:pt idx="2">
                    <c:v>alexus chanthadara</c:v>
                  </c:pt>
                  <c:pt idx="3">
                    <c:v>alondra martinez</c:v>
                  </c:pt>
                  <c:pt idx="4">
                    <c:v>blake collins</c:v>
                  </c:pt>
                  <c:pt idx="5">
                    <c:v>charles palacios</c:v>
                  </c:pt>
                  <c:pt idx="6">
                    <c:v>smaya melgara</c:v>
                  </c:pt>
                  <c:pt idx="7">
                    <c:v>tihitina zergaw</c:v>
                  </c:pt>
                  <c:pt idx="8">
                    <c:v>(blank)</c:v>
                  </c:pt>
                </c:lvl>
                <c:lvl>
                  <c:pt idx="0">
                    <c:v>Definitely will recommend</c:v>
                  </c:pt>
                  <c:pt idx="2">
                    <c:v>Probably will recommend</c:v>
                  </c:pt>
                  <c:pt idx="3">
                    <c:v>Definitely will recommend</c:v>
                  </c:pt>
                  <c:pt idx="8">
                    <c:v>1</c:v>
                  </c:pt>
                </c:lvl>
                <c:lvl>
                  <c:pt idx="0">
                    <c:v>Maybe</c:v>
                  </c:pt>
                  <c:pt idx="2">
                    <c:v>No</c:v>
                  </c:pt>
                  <c:pt idx="3">
                    <c:v>Yes</c:v>
                  </c:pt>
                  <c:pt idx="8">
                    <c:v>(blank)</c:v>
                  </c:pt>
                </c:lvl>
              </c:multiLvlStrCache>
            </c:multiLvlStrRef>
          </c:cat>
          <c:val>
            <c:numRef>
              <c:f>Sheet2!$C$2:$C$46</c:f>
              <c:numCache>
                <c:formatCode>General</c:formatCode>
                <c:ptCount val="9"/>
                <c:pt idx="0">
                  <c:v>6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5.75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8A-494A-9B47-7059DFECB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596900</xdr:colOff>
      <xdr:row>0</xdr:row>
      <xdr:rowOff>171450</xdr:rowOff>
    </xdr:from>
    <xdr:to>
      <xdr:col>16</xdr:col>
      <xdr:colOff>241300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99AFBB-C650-1149-4A93-134B48BB77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rey allen" refreshedDate="46123.738148842589" createdVersion="8" refreshedVersion="8" minRefreshableVersion="3" recordCount="9" xr:uid="{E0666CF8-9314-4A3A-9568-15372DD063EC}">
  <cacheSource type="worksheet">
    <worksheetSource ref="A1:K10" sheet="Crash &amp; Burn Coffee Company Cus"/>
  </cacheSource>
  <cacheFields count="11">
    <cacheField name="Id" numFmtId="0">
      <sharedItems containsString="0" containsBlank="1" containsNumber="1" containsInteger="1" minValue="1" maxValue="8"/>
    </cacheField>
    <cacheField name="Start time" numFmtId="165">
      <sharedItems containsNonDate="0" containsDate="1" containsString="0" containsBlank="1" minDate="2026-04-09T13:14:00" maxDate="2026-04-10T11:57:00"/>
    </cacheField>
    <cacheField name="Completion time" numFmtId="0">
      <sharedItems containsNonDate="0" containsDate="1" containsString="0" containsBlank="1" minDate="2026-04-09T13:15:00" maxDate="2026-04-10T11:57:00"/>
    </cacheField>
    <cacheField name="Time to Complete" numFmtId="45">
      <sharedItems containsSemiMixedTypes="0" containsNonDate="0" containsDate="1" containsString="0" minDate="1899-12-30T00:00:00" maxDate="1899-12-30T00:06:00"/>
    </cacheField>
    <cacheField name="Email" numFmtId="0">
      <sharedItems containsBlank="1"/>
    </cacheField>
    <cacheField name="Name" numFmtId="0">
      <sharedItems containsBlank="1" count="9">
        <s v="samia omer"/>
        <s v="alexus chanthadara"/>
        <s v="charles palacios"/>
        <s v="alondra martinez"/>
        <s v="tihitina zergaw"/>
        <s v="Bess Hambleton"/>
        <s v="smaya melgara"/>
        <s v="blake collins"/>
        <m/>
      </sharedItems>
    </cacheField>
    <cacheField name="How would you rate your experience at Crash &amp; Burn?" numFmtId="0">
      <sharedItems containsSemiMixedTypes="0" containsString="0" containsNumber="1" minValue="5" maxValue="6" count="3">
        <n v="6"/>
        <n v="5"/>
        <n v="5.75"/>
      </sharedItems>
    </cacheField>
    <cacheField name="How likely are you to try our new seasonal coffee?" numFmtId="0">
      <sharedItems containsMixedTypes="1" containsNumber="1" containsInteger="1" minValue="6" maxValue="6" count="3">
        <s v="Very likely"/>
        <s v="Somewhat likely"/>
        <n v="6"/>
      </sharedItems>
    </cacheField>
    <cacheField name="What brings you to Crash &amp; Burn Coffee the most?" numFmtId="0">
      <sharedItems containsBlank="1" count="9">
        <s v="I heard from my friend they have a good coffee"/>
        <s v="To crash and burn"/>
        <s v="I come when I am in the mood to taste good coffee"/>
        <s v="amazing coffee and ambience "/>
        <s v="The flavor of the coffee "/>
        <s v="When I visit the library nearby, I always stop for a coffee"/>
        <s v="Enviornment"/>
        <s v="I needed five dollars"/>
        <m/>
      </sharedItems>
    </cacheField>
    <cacheField name="How likely are you to recommend Crash &amp; Burn to a friend or colleague?" numFmtId="0">
      <sharedItems containsMixedTypes="1" containsNumber="1" containsInteger="1" minValue="1" maxValue="1" count="3">
        <s v="Definitely will recommend"/>
        <s v="Probably will recommend"/>
        <n v="1"/>
      </sharedItems>
    </cacheField>
    <cacheField name="Would you join a rewards program?" numFmtId="0">
      <sharedItems containsBlank="1" count="4">
        <s v="Maybe"/>
        <s v="No"/>
        <s v="Y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1"/>
    <d v="2026-04-09T13:14:00"/>
    <d v="2026-04-09T13:15:00"/>
    <d v="1899-12-30T00:01:00"/>
    <s v="somer@my.yearupunited.org"/>
    <x v="0"/>
    <x v="0"/>
    <x v="0"/>
    <x v="0"/>
    <x v="0"/>
    <x v="0"/>
  </r>
  <r>
    <n v="2"/>
    <d v="2026-04-09T13:31:00"/>
    <d v="2026-04-09T13:32:00"/>
    <d v="1899-12-30T00:01:00"/>
    <s v="achanthadara@my.yearupunited.org"/>
    <x v="1"/>
    <x v="1"/>
    <x v="1"/>
    <x v="1"/>
    <x v="1"/>
    <x v="1"/>
  </r>
  <r>
    <n v="3"/>
    <d v="2026-04-09T14:28:00"/>
    <d v="2026-04-09T14:29:00"/>
    <d v="1899-12-30T00:01:00"/>
    <s v="cpalacios@my.yearupunited.org"/>
    <x v="2"/>
    <x v="0"/>
    <x v="1"/>
    <x v="2"/>
    <x v="0"/>
    <x v="2"/>
  </r>
  <r>
    <n v="4"/>
    <d v="2026-04-09T14:47:00"/>
    <d v="2026-04-09T14:48:00"/>
    <d v="1899-12-30T00:01:00"/>
    <s v="amartinez3@my.yearupunited.org"/>
    <x v="3"/>
    <x v="0"/>
    <x v="0"/>
    <x v="3"/>
    <x v="0"/>
    <x v="2"/>
  </r>
  <r>
    <n v="5"/>
    <d v="2026-04-09T16:00:00"/>
    <d v="2026-04-09T16:06:00"/>
    <d v="1899-12-30T00:06:00"/>
    <s v="tzergaw@my.yearupunited.org"/>
    <x v="4"/>
    <x v="1"/>
    <x v="0"/>
    <x v="4"/>
    <x v="0"/>
    <x v="2"/>
  </r>
  <r>
    <n v="6"/>
    <d v="2026-04-10T08:44:00"/>
    <d v="2026-04-10T08:44:00"/>
    <d v="1899-12-30T00:00:00"/>
    <s v="BHambleton@YearUp.org"/>
    <x v="5"/>
    <x v="0"/>
    <x v="0"/>
    <x v="5"/>
    <x v="0"/>
    <x v="0"/>
  </r>
  <r>
    <n v="7"/>
    <d v="2026-04-10T11:11:00"/>
    <d v="2026-04-10T11:11:00"/>
    <d v="1899-12-30T00:00:00"/>
    <s v="smelgara@my.yearupunited.org"/>
    <x v="6"/>
    <x v="0"/>
    <x v="0"/>
    <x v="6"/>
    <x v="0"/>
    <x v="2"/>
  </r>
  <r>
    <n v="8"/>
    <d v="2026-04-10T11:57:00"/>
    <d v="2026-04-10T11:57:00"/>
    <d v="1899-12-30T00:00:00"/>
    <s v="bcollins@my.yearupunited.org"/>
    <x v="7"/>
    <x v="0"/>
    <x v="0"/>
    <x v="7"/>
    <x v="0"/>
    <x v="2"/>
  </r>
  <r>
    <m/>
    <m/>
    <m/>
    <d v="1899-12-30T00:01:15"/>
    <m/>
    <x v="8"/>
    <x v="2"/>
    <x v="2"/>
    <x v="8"/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74FC05-AA3D-445E-885D-9562FE2857DD}" name="PivotTable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:C46" firstHeaderRow="0" firstDataRow="1" firstDataCol="1"/>
  <pivotFields count="11">
    <pivotField showAll="0"/>
    <pivotField showAll="0"/>
    <pivotField showAll="0"/>
    <pivotField numFmtId="45" showAll="0"/>
    <pivotField showAll="0"/>
    <pivotField axis="axisRow" dataField="1" showAll="0">
      <items count="10">
        <item x="1"/>
        <item x="3"/>
        <item x="5"/>
        <item x="7"/>
        <item x="2"/>
        <item x="0"/>
        <item x="6"/>
        <item x="4"/>
        <item x="8"/>
        <item t="default"/>
      </items>
    </pivotField>
    <pivotField axis="axisRow" dataField="1" showAll="0">
      <items count="4">
        <item x="1"/>
        <item x="2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axis="axisRow" showAll="0">
      <items count="10">
        <item x="3"/>
        <item x="6"/>
        <item x="2"/>
        <item x="0"/>
        <item x="7"/>
        <item x="4"/>
        <item x="1"/>
        <item x="5"/>
        <item x="8"/>
        <item t="default"/>
      </items>
    </pivotField>
    <pivotField axis="axisRow" showAll="0">
      <items count="4">
        <item x="2"/>
        <item x="0"/>
        <item x="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6">
    <field x="10"/>
    <field x="9"/>
    <field x="5"/>
    <field x="6"/>
    <field x="8"/>
    <field x="7"/>
  </rowFields>
  <rowItems count="45">
    <i>
      <x/>
    </i>
    <i r="1">
      <x v="1"/>
    </i>
    <i r="2">
      <x v="2"/>
    </i>
    <i r="3">
      <x v="2"/>
    </i>
    <i r="4">
      <x v="7"/>
    </i>
    <i r="5">
      <x v="2"/>
    </i>
    <i r="2">
      <x v="5"/>
    </i>
    <i r="3">
      <x v="2"/>
    </i>
    <i r="4">
      <x v="3"/>
    </i>
    <i r="5">
      <x v="2"/>
    </i>
    <i>
      <x v="1"/>
    </i>
    <i r="1">
      <x v="2"/>
    </i>
    <i r="2">
      <x/>
    </i>
    <i r="3">
      <x/>
    </i>
    <i r="4">
      <x v="6"/>
    </i>
    <i r="5">
      <x v="1"/>
    </i>
    <i>
      <x v="2"/>
    </i>
    <i r="1">
      <x v="1"/>
    </i>
    <i r="2">
      <x v="1"/>
    </i>
    <i r="3">
      <x v="2"/>
    </i>
    <i r="4">
      <x/>
    </i>
    <i r="5">
      <x v="2"/>
    </i>
    <i r="2">
      <x v="3"/>
    </i>
    <i r="3">
      <x v="2"/>
    </i>
    <i r="4">
      <x v="4"/>
    </i>
    <i r="5">
      <x v="2"/>
    </i>
    <i r="2">
      <x v="4"/>
    </i>
    <i r="3">
      <x v="2"/>
    </i>
    <i r="4">
      <x v="2"/>
    </i>
    <i r="5">
      <x v="1"/>
    </i>
    <i r="2">
      <x v="6"/>
    </i>
    <i r="3">
      <x v="2"/>
    </i>
    <i r="4">
      <x v="1"/>
    </i>
    <i r="5">
      <x v="2"/>
    </i>
    <i r="2">
      <x v="7"/>
    </i>
    <i r="3">
      <x/>
    </i>
    <i r="4">
      <x v="5"/>
    </i>
    <i r="5">
      <x v="2"/>
    </i>
    <i>
      <x v="3"/>
    </i>
    <i r="1">
      <x/>
    </i>
    <i r="2">
      <x v="8"/>
    </i>
    <i r="3">
      <x v="1"/>
    </i>
    <i r="4">
      <x v="8"/>
    </i>
    <i r="5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Name" fld="5" subtotal="count" baseField="0" baseItem="0"/>
    <dataField name="Sum of How would you rate your experience at Crash &amp; Burn?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C185C-A464-4150-858C-FF750A4A1C9A}">
  <dimension ref="A1:C46"/>
  <sheetViews>
    <sheetView tabSelected="1" topLeftCell="C1" workbookViewId="0"/>
  </sheetViews>
  <sheetFormatPr defaultRowHeight="14.5" x14ac:dyDescent="0.35"/>
  <cols>
    <col min="1" max="1" width="53.7265625" bestFit="1" customWidth="1"/>
    <col min="2" max="2" width="13.26953125" bestFit="1" customWidth="1"/>
    <col min="3" max="3" width="51.6328125" bestFit="1" customWidth="1"/>
  </cols>
  <sheetData>
    <row r="1" spans="1:3" x14ac:dyDescent="0.35">
      <c r="A1" s="4" t="s">
        <v>42</v>
      </c>
      <c r="B1" t="s">
        <v>45</v>
      </c>
      <c r="C1" t="s">
        <v>46</v>
      </c>
    </row>
    <row r="2" spans="1:3" x14ac:dyDescent="0.35">
      <c r="A2" s="5" t="s">
        <v>15</v>
      </c>
      <c r="B2" s="1">
        <v>2</v>
      </c>
      <c r="C2" s="1">
        <v>12</v>
      </c>
    </row>
    <row r="3" spans="1:3" x14ac:dyDescent="0.35">
      <c r="A3" s="6" t="s">
        <v>14</v>
      </c>
      <c r="B3" s="1">
        <v>2</v>
      </c>
      <c r="C3" s="1">
        <v>12</v>
      </c>
    </row>
    <row r="4" spans="1:3" x14ac:dyDescent="0.35">
      <c r="A4" s="7" t="s">
        <v>33</v>
      </c>
      <c r="B4" s="1">
        <v>1</v>
      </c>
      <c r="C4" s="1">
        <v>6</v>
      </c>
    </row>
    <row r="5" spans="1:3" x14ac:dyDescent="0.35">
      <c r="A5" s="8">
        <v>6</v>
      </c>
      <c r="B5" s="1">
        <v>1</v>
      </c>
      <c r="C5" s="1">
        <v>6</v>
      </c>
    </row>
    <row r="6" spans="1:3" x14ac:dyDescent="0.35">
      <c r="A6" s="9" t="s">
        <v>34</v>
      </c>
      <c r="B6" s="1">
        <v>1</v>
      </c>
      <c r="C6" s="1">
        <v>6</v>
      </c>
    </row>
    <row r="7" spans="1:3" x14ac:dyDescent="0.35">
      <c r="A7" s="10" t="s">
        <v>12</v>
      </c>
      <c r="B7" s="1">
        <v>1</v>
      </c>
      <c r="C7" s="1">
        <v>6</v>
      </c>
    </row>
    <row r="8" spans="1:3" x14ac:dyDescent="0.35">
      <c r="A8" s="7" t="s">
        <v>11</v>
      </c>
      <c r="B8" s="1">
        <v>1</v>
      </c>
      <c r="C8" s="1">
        <v>6</v>
      </c>
    </row>
    <row r="9" spans="1:3" x14ac:dyDescent="0.35">
      <c r="A9" s="8">
        <v>6</v>
      </c>
      <c r="B9" s="1">
        <v>1</v>
      </c>
      <c r="C9" s="1">
        <v>6</v>
      </c>
    </row>
    <row r="10" spans="1:3" x14ac:dyDescent="0.35">
      <c r="A10" s="9" t="s">
        <v>13</v>
      </c>
      <c r="B10" s="1">
        <v>1</v>
      </c>
      <c r="C10" s="1">
        <v>6</v>
      </c>
    </row>
    <row r="11" spans="1:3" x14ac:dyDescent="0.35">
      <c r="A11" s="10" t="s">
        <v>12</v>
      </c>
      <c r="B11" s="1">
        <v>1</v>
      </c>
      <c r="C11" s="1">
        <v>6</v>
      </c>
    </row>
    <row r="12" spans="1:3" x14ac:dyDescent="0.35">
      <c r="A12" s="5" t="s">
        <v>21</v>
      </c>
      <c r="B12" s="1">
        <v>1</v>
      </c>
      <c r="C12" s="1">
        <v>5</v>
      </c>
    </row>
    <row r="13" spans="1:3" x14ac:dyDescent="0.35">
      <c r="A13" s="6" t="s">
        <v>20</v>
      </c>
      <c r="B13" s="1">
        <v>1</v>
      </c>
      <c r="C13" s="1">
        <v>5</v>
      </c>
    </row>
    <row r="14" spans="1:3" x14ac:dyDescent="0.35">
      <c r="A14" s="7" t="s">
        <v>17</v>
      </c>
      <c r="B14" s="1">
        <v>1</v>
      </c>
      <c r="C14" s="1">
        <v>5</v>
      </c>
    </row>
    <row r="15" spans="1:3" x14ac:dyDescent="0.35">
      <c r="A15" s="8">
        <v>5</v>
      </c>
      <c r="B15" s="1">
        <v>1</v>
      </c>
      <c r="C15" s="1">
        <v>5</v>
      </c>
    </row>
    <row r="16" spans="1:3" x14ac:dyDescent="0.35">
      <c r="A16" s="9" t="s">
        <v>19</v>
      </c>
      <c r="B16" s="1">
        <v>1</v>
      </c>
      <c r="C16" s="1">
        <v>5</v>
      </c>
    </row>
    <row r="17" spans="1:3" x14ac:dyDescent="0.35">
      <c r="A17" s="10" t="s">
        <v>18</v>
      </c>
      <c r="B17" s="1">
        <v>1</v>
      </c>
      <c r="C17" s="1">
        <v>5</v>
      </c>
    </row>
    <row r="18" spans="1:3" x14ac:dyDescent="0.35">
      <c r="A18" s="5" t="s">
        <v>25</v>
      </c>
      <c r="B18" s="1">
        <v>5</v>
      </c>
      <c r="C18" s="1">
        <v>29</v>
      </c>
    </row>
    <row r="19" spans="1:3" x14ac:dyDescent="0.35">
      <c r="A19" s="6" t="s">
        <v>14</v>
      </c>
      <c r="B19" s="1">
        <v>5</v>
      </c>
      <c r="C19" s="1">
        <v>29</v>
      </c>
    </row>
    <row r="20" spans="1:3" x14ac:dyDescent="0.35">
      <c r="A20" s="7" t="s">
        <v>27</v>
      </c>
      <c r="B20" s="1">
        <v>1</v>
      </c>
      <c r="C20" s="1">
        <v>6</v>
      </c>
    </row>
    <row r="21" spans="1:3" x14ac:dyDescent="0.35">
      <c r="A21" s="8">
        <v>6</v>
      </c>
      <c r="B21" s="1">
        <v>1</v>
      </c>
      <c r="C21" s="1">
        <v>6</v>
      </c>
    </row>
    <row r="22" spans="1:3" x14ac:dyDescent="0.35">
      <c r="A22" s="9" t="s">
        <v>28</v>
      </c>
      <c r="B22" s="1">
        <v>1</v>
      </c>
      <c r="C22" s="1">
        <v>6</v>
      </c>
    </row>
    <row r="23" spans="1:3" x14ac:dyDescent="0.35">
      <c r="A23" s="10" t="s">
        <v>12</v>
      </c>
      <c r="B23" s="1">
        <v>1</v>
      </c>
      <c r="C23" s="1">
        <v>6</v>
      </c>
    </row>
    <row r="24" spans="1:3" x14ac:dyDescent="0.35">
      <c r="A24" s="7" t="s">
        <v>39</v>
      </c>
      <c r="B24" s="1">
        <v>1</v>
      </c>
      <c r="C24" s="1">
        <v>6</v>
      </c>
    </row>
    <row r="25" spans="1:3" x14ac:dyDescent="0.35">
      <c r="A25" s="8">
        <v>6</v>
      </c>
      <c r="B25" s="1">
        <v>1</v>
      </c>
      <c r="C25" s="1">
        <v>6</v>
      </c>
    </row>
    <row r="26" spans="1:3" x14ac:dyDescent="0.35">
      <c r="A26" s="9" t="s">
        <v>40</v>
      </c>
      <c r="B26" s="1">
        <v>1</v>
      </c>
      <c r="C26" s="1">
        <v>6</v>
      </c>
    </row>
    <row r="27" spans="1:3" x14ac:dyDescent="0.35">
      <c r="A27" s="10" t="s">
        <v>12</v>
      </c>
      <c r="B27" s="1">
        <v>1</v>
      </c>
      <c r="C27" s="1">
        <v>6</v>
      </c>
    </row>
    <row r="28" spans="1:3" x14ac:dyDescent="0.35">
      <c r="A28" s="7" t="s">
        <v>23</v>
      </c>
      <c r="B28" s="1">
        <v>1</v>
      </c>
      <c r="C28" s="1">
        <v>6</v>
      </c>
    </row>
    <row r="29" spans="1:3" x14ac:dyDescent="0.35">
      <c r="A29" s="8">
        <v>6</v>
      </c>
      <c r="B29" s="1">
        <v>1</v>
      </c>
      <c r="C29" s="1">
        <v>6</v>
      </c>
    </row>
    <row r="30" spans="1:3" x14ac:dyDescent="0.35">
      <c r="A30" s="9" t="s">
        <v>24</v>
      </c>
      <c r="B30" s="1">
        <v>1</v>
      </c>
      <c r="C30" s="1">
        <v>6</v>
      </c>
    </row>
    <row r="31" spans="1:3" x14ac:dyDescent="0.35">
      <c r="A31" s="10" t="s">
        <v>18</v>
      </c>
      <c r="B31" s="1">
        <v>1</v>
      </c>
      <c r="C31" s="1">
        <v>6</v>
      </c>
    </row>
    <row r="32" spans="1:3" x14ac:dyDescent="0.35">
      <c r="A32" s="7" t="s">
        <v>36</v>
      </c>
      <c r="B32" s="1">
        <v>1</v>
      </c>
      <c r="C32" s="1">
        <v>6</v>
      </c>
    </row>
    <row r="33" spans="1:3" x14ac:dyDescent="0.35">
      <c r="A33" s="8">
        <v>6</v>
      </c>
      <c r="B33" s="1">
        <v>1</v>
      </c>
      <c r="C33" s="1">
        <v>6</v>
      </c>
    </row>
    <row r="34" spans="1:3" x14ac:dyDescent="0.35">
      <c r="A34" s="9" t="s">
        <v>37</v>
      </c>
      <c r="B34" s="1">
        <v>1</v>
      </c>
      <c r="C34" s="1">
        <v>6</v>
      </c>
    </row>
    <row r="35" spans="1:3" x14ac:dyDescent="0.35">
      <c r="A35" s="10" t="s">
        <v>12</v>
      </c>
      <c r="B35" s="1">
        <v>1</v>
      </c>
      <c r="C35" s="1">
        <v>6</v>
      </c>
    </row>
    <row r="36" spans="1:3" x14ac:dyDescent="0.35">
      <c r="A36" s="7" t="s">
        <v>30</v>
      </c>
      <c r="B36" s="1">
        <v>1</v>
      </c>
      <c r="C36" s="1">
        <v>5</v>
      </c>
    </row>
    <row r="37" spans="1:3" x14ac:dyDescent="0.35">
      <c r="A37" s="8">
        <v>5</v>
      </c>
      <c r="B37" s="1">
        <v>1</v>
      </c>
      <c r="C37" s="1">
        <v>5</v>
      </c>
    </row>
    <row r="38" spans="1:3" x14ac:dyDescent="0.35">
      <c r="A38" s="9" t="s">
        <v>31</v>
      </c>
      <c r="B38" s="1">
        <v>1</v>
      </c>
      <c r="C38" s="1">
        <v>5</v>
      </c>
    </row>
    <row r="39" spans="1:3" x14ac:dyDescent="0.35">
      <c r="A39" s="10" t="s">
        <v>12</v>
      </c>
      <c r="B39" s="1">
        <v>1</v>
      </c>
      <c r="C39" s="1">
        <v>5</v>
      </c>
    </row>
    <row r="40" spans="1:3" x14ac:dyDescent="0.35">
      <c r="A40" s="5" t="s">
        <v>44</v>
      </c>
      <c r="B40" s="1"/>
      <c r="C40" s="1">
        <v>5.75</v>
      </c>
    </row>
    <row r="41" spans="1:3" x14ac:dyDescent="0.35">
      <c r="A41" s="6">
        <v>1</v>
      </c>
      <c r="B41" s="1"/>
      <c r="C41" s="1">
        <v>5.75</v>
      </c>
    </row>
    <row r="42" spans="1:3" x14ac:dyDescent="0.35">
      <c r="A42" s="7" t="s">
        <v>44</v>
      </c>
      <c r="B42" s="1"/>
      <c r="C42" s="1">
        <v>5.75</v>
      </c>
    </row>
    <row r="43" spans="1:3" x14ac:dyDescent="0.35">
      <c r="A43" s="8">
        <v>5.75</v>
      </c>
      <c r="B43" s="1"/>
      <c r="C43" s="1">
        <v>5.75</v>
      </c>
    </row>
    <row r="44" spans="1:3" x14ac:dyDescent="0.35">
      <c r="A44" s="9" t="s">
        <v>44</v>
      </c>
      <c r="B44" s="1"/>
      <c r="C44" s="1">
        <v>5.75</v>
      </c>
    </row>
    <row r="45" spans="1:3" x14ac:dyDescent="0.35">
      <c r="A45" s="10">
        <v>6</v>
      </c>
      <c r="B45" s="1"/>
      <c r="C45" s="1">
        <v>5.75</v>
      </c>
    </row>
    <row r="46" spans="1:3" x14ac:dyDescent="0.35">
      <c r="A46" s="5" t="s">
        <v>43</v>
      </c>
      <c r="B46" s="1">
        <v>8</v>
      </c>
      <c r="C46" s="1">
        <v>51.75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5BFF-377B-4EB0-8F1B-C5D7514E1B50}">
  <dimension ref="A1:K10"/>
  <sheetViews>
    <sheetView zoomScale="76" workbookViewId="0">
      <selection activeCell="J10" sqref="J10"/>
    </sheetView>
  </sheetViews>
  <sheetFormatPr defaultRowHeight="14.5" x14ac:dyDescent="0.35"/>
  <cols>
    <col min="2" max="2" width="17.7265625" style="2" bestFit="1" customWidth="1"/>
    <col min="3" max="3" width="17.7265625" bestFit="1" customWidth="1"/>
    <col min="4" max="4" width="17.7265625" style="3" customWidth="1"/>
    <col min="9" max="9" width="45.26953125" bestFit="1" customWidth="1"/>
    <col min="10" max="10" width="22.08984375" customWidth="1"/>
  </cols>
  <sheetData>
    <row r="1" spans="1:11" x14ac:dyDescent="0.35">
      <c r="A1" t="s">
        <v>0</v>
      </c>
      <c r="B1" s="2" t="s">
        <v>1</v>
      </c>
      <c r="C1" t="s">
        <v>2</v>
      </c>
      <c r="D1" s="3" t="s">
        <v>41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>
        <v>1</v>
      </c>
      <c r="B2" s="2">
        <v>46121.551388888889</v>
      </c>
      <c r="C2" s="2">
        <v>46121.552083333336</v>
      </c>
      <c r="D2" s="3">
        <f>C2-B2</f>
        <v>6.944444467080757E-4</v>
      </c>
      <c r="E2" t="s">
        <v>10</v>
      </c>
      <c r="F2" t="s">
        <v>11</v>
      </c>
      <c r="G2">
        <v>6</v>
      </c>
      <c r="H2" t="s">
        <v>12</v>
      </c>
      <c r="I2" t="s">
        <v>13</v>
      </c>
      <c r="J2" t="s">
        <v>14</v>
      </c>
      <c r="K2" t="s">
        <v>15</v>
      </c>
    </row>
    <row r="3" spans="1:11" x14ac:dyDescent="0.35">
      <c r="A3">
        <v>2</v>
      </c>
      <c r="B3" s="2">
        <v>46121.563194444447</v>
      </c>
      <c r="C3" s="2">
        <v>46121.563888888886</v>
      </c>
      <c r="D3" s="3">
        <f t="shared" ref="D3:D9" si="0">C3-B3</f>
        <v>6.9444443943211809E-4</v>
      </c>
      <c r="E3" t="s">
        <v>16</v>
      </c>
      <c r="F3" t="s">
        <v>17</v>
      </c>
      <c r="G3">
        <v>5</v>
      </c>
      <c r="H3" t="s">
        <v>18</v>
      </c>
      <c r="I3" t="s">
        <v>19</v>
      </c>
      <c r="J3" t="s">
        <v>20</v>
      </c>
      <c r="K3" t="s">
        <v>21</v>
      </c>
    </row>
    <row r="4" spans="1:11" x14ac:dyDescent="0.35">
      <c r="A4">
        <v>3</v>
      </c>
      <c r="B4" s="2">
        <v>46121.602777777778</v>
      </c>
      <c r="C4" s="2">
        <v>46121.603472222225</v>
      </c>
      <c r="D4" s="3">
        <f t="shared" si="0"/>
        <v>6.944444467080757E-4</v>
      </c>
      <c r="E4" t="s">
        <v>22</v>
      </c>
      <c r="F4" t="s">
        <v>23</v>
      </c>
      <c r="G4">
        <v>6</v>
      </c>
      <c r="H4" t="s">
        <v>18</v>
      </c>
      <c r="I4" t="s">
        <v>24</v>
      </c>
      <c r="J4" t="s">
        <v>14</v>
      </c>
      <c r="K4" t="s">
        <v>25</v>
      </c>
    </row>
    <row r="5" spans="1:11" x14ac:dyDescent="0.35">
      <c r="A5">
        <v>4</v>
      </c>
      <c r="B5" s="2">
        <v>46121.615972222222</v>
      </c>
      <c r="C5" s="2">
        <v>46121.616666666669</v>
      </c>
      <c r="D5" s="3">
        <f t="shared" si="0"/>
        <v>6.944444467080757E-4</v>
      </c>
      <c r="E5" t="s">
        <v>26</v>
      </c>
      <c r="F5" t="s">
        <v>27</v>
      </c>
      <c r="G5">
        <v>6</v>
      </c>
      <c r="H5" t="s">
        <v>12</v>
      </c>
      <c r="I5" t="s">
        <v>28</v>
      </c>
      <c r="J5" t="s">
        <v>14</v>
      </c>
      <c r="K5" t="s">
        <v>25</v>
      </c>
    </row>
    <row r="6" spans="1:11" x14ac:dyDescent="0.35">
      <c r="A6">
        <v>5</v>
      </c>
      <c r="B6" s="2">
        <v>46121.666666666664</v>
      </c>
      <c r="C6" s="2">
        <v>46121.67083333333</v>
      </c>
      <c r="D6" s="3">
        <f t="shared" si="0"/>
        <v>4.166666665696539E-3</v>
      </c>
      <c r="E6" t="s">
        <v>29</v>
      </c>
      <c r="F6" t="s">
        <v>30</v>
      </c>
      <c r="G6">
        <v>5</v>
      </c>
      <c r="H6" t="s">
        <v>12</v>
      </c>
      <c r="I6" t="s">
        <v>31</v>
      </c>
      <c r="J6" t="s">
        <v>14</v>
      </c>
      <c r="K6" t="s">
        <v>25</v>
      </c>
    </row>
    <row r="7" spans="1:11" x14ac:dyDescent="0.35">
      <c r="A7">
        <v>6</v>
      </c>
      <c r="B7" s="2">
        <v>46122.363888888889</v>
      </c>
      <c r="C7" s="2">
        <v>46122.363888888889</v>
      </c>
      <c r="D7" s="3">
        <f t="shared" si="0"/>
        <v>0</v>
      </c>
      <c r="E7" t="s">
        <v>32</v>
      </c>
      <c r="F7" t="s">
        <v>33</v>
      </c>
      <c r="G7">
        <v>6</v>
      </c>
      <c r="H7" t="s">
        <v>12</v>
      </c>
      <c r="I7" t="s">
        <v>34</v>
      </c>
      <c r="J7" t="s">
        <v>14</v>
      </c>
      <c r="K7" t="s">
        <v>15</v>
      </c>
    </row>
    <row r="8" spans="1:11" x14ac:dyDescent="0.35">
      <c r="A8">
        <v>7</v>
      </c>
      <c r="B8" s="2">
        <v>46122.46597222222</v>
      </c>
      <c r="C8" s="2">
        <v>46122.46597222222</v>
      </c>
      <c r="D8" s="3">
        <f t="shared" si="0"/>
        <v>0</v>
      </c>
      <c r="E8" t="s">
        <v>35</v>
      </c>
      <c r="F8" t="s">
        <v>36</v>
      </c>
      <c r="G8">
        <v>6</v>
      </c>
      <c r="H8" t="s">
        <v>12</v>
      </c>
      <c r="I8" t="s">
        <v>37</v>
      </c>
      <c r="J8" t="s">
        <v>14</v>
      </c>
      <c r="K8" t="s">
        <v>25</v>
      </c>
    </row>
    <row r="9" spans="1:11" x14ac:dyDescent="0.35">
      <c r="A9">
        <v>8</v>
      </c>
      <c r="B9" s="2">
        <v>46122.497916666667</v>
      </c>
      <c r="C9" s="2">
        <v>46122.497916666667</v>
      </c>
      <c r="D9" s="3">
        <f t="shared" si="0"/>
        <v>0</v>
      </c>
      <c r="E9" t="s">
        <v>38</v>
      </c>
      <c r="F9" t="s">
        <v>39</v>
      </c>
      <c r="G9">
        <v>6</v>
      </c>
      <c r="H9" t="s">
        <v>12</v>
      </c>
      <c r="I9" t="s">
        <v>40</v>
      </c>
      <c r="J9" t="s">
        <v>14</v>
      </c>
      <c r="K9" t="s">
        <v>25</v>
      </c>
    </row>
    <row r="10" spans="1:11" x14ac:dyDescent="0.35">
      <c r="D10" s="3">
        <f>AVERAGE(D2:D9)</f>
        <v>8.6805555565661052E-4</v>
      </c>
      <c r="G10">
        <f>AVERAGE(G2:G9)</f>
        <v>5.75</v>
      </c>
      <c r="H10">
        <f>COUNTIF(H2:H9, "Very Likely")</f>
        <v>6</v>
      </c>
      <c r="J10">
        <f>AVERAGE(_xlfn.SWITCH("Definitely will recommend",1, "Probably will recommend",1))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Crash &amp; Burn Coffee Company Cus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allen</dc:creator>
  <cp:lastModifiedBy>corey allen</cp:lastModifiedBy>
  <dcterms:created xsi:type="dcterms:W3CDTF">2026-04-11T18:51:50Z</dcterms:created>
  <dcterms:modified xsi:type="dcterms:W3CDTF">2026-04-11T21:49:39Z</dcterms:modified>
</cp:coreProperties>
</file>